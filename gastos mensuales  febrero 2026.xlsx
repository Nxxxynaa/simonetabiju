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MENSUALES" sheetId="1" r:id="rId4"/>
    <sheet state="visible" name="INGRESOS MENSUALES" sheetId="2" r:id="rId5"/>
  </sheets>
  <definedNames/>
  <calcPr/>
  <extLst>
    <ext uri="GoogleSheetsCustomDataVersion2">
      <go:sheetsCustomData xmlns:go="http://customooxmlschemas.google.com/" r:id="rId6" roundtripDataChecksum="uzBRedY+9rX/eNRBS6PjG1lTRVoAxGzJff5QrzmWRyk="/>
    </ext>
  </extLst>
</workbook>
</file>

<file path=xl/sharedStrings.xml><?xml version="1.0" encoding="utf-8"?>
<sst xmlns="http://schemas.openxmlformats.org/spreadsheetml/2006/main" count="21" uniqueCount="18">
  <si>
    <t>PLANILLA DE GASTOS MENSUAL</t>
  </si>
  <si>
    <t>MES:</t>
  </si>
  <si>
    <t xml:space="preserve">FEBRERO </t>
  </si>
  <si>
    <t>DIA</t>
  </si>
  <si>
    <t>CONSUMO</t>
  </si>
  <si>
    <t>SERVICIOS  Y ALQ.</t>
  </si>
  <si>
    <t>LIMPIEZA Y DESC,</t>
  </si>
  <si>
    <t>VARIOS</t>
  </si>
  <si>
    <t>VARIOS E INVER.</t>
  </si>
  <si>
    <t>PERSONAL</t>
  </si>
  <si>
    <t>TOTAL DIARIO</t>
  </si>
  <si>
    <t>PLANILLA DE INGRESOS MENSUAL</t>
  </si>
  <si>
    <t xml:space="preserve">CAJA DIA </t>
  </si>
  <si>
    <t>PD</t>
  </si>
  <si>
    <t>MP</t>
  </si>
  <si>
    <t>CAJA NOCHE</t>
  </si>
  <si>
    <t xml:space="preserve">MP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</si>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</sst>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\ #,##0.00"/>
    <numFmt numFmtId="165" formatCode="_ &quot;$&quot;\ * #,##0.00_ ;_ &quot;$&quot;\ * \-#,##0.00_ ;_ &quot;$&quot;\ * &quot;-&quot;??_ ;_ @_ "/>
    <numFmt numFmtId="166" formatCode="&quot;$&quot;#,##0.00;[Red]&quot;$&quot;#,##0.00"/>
    <numFmt numFmtId="167" formatCode="[$ $]#,##0.00"/>
  </numFmts>
  <fonts count="8">
    <font>
      <sz val="11.0"/>
      <color rgb="FF000000"/>
      <name val="Calibri"/>
      <scheme val="minor"/>
    </font>
    <font>
      <sz val="12.0"/>
      <color rgb="FF000000"/>
      <name val="Calibri"/>
    </font>
    <font>
      <b/>
      <u/>
      <sz val="14.0"/>
      <color rgb="FF000000"/>
      <name val="Arial"/>
    </font>
    <font>
      <b/>
      <sz val="11.0"/>
      <color rgb="FF000000"/>
      <name val="Arial"/>
    </font>
    <font>
      <sz val="12.0"/>
      <color rgb="FF000000"/>
      <name val="Arial"/>
    </font>
    <font>
      <b/>
      <sz val="11.0"/>
      <color rgb="FFFFFFFF"/>
      <name val="Arial"/>
    </font>
    <font>
      <sz val="11.0"/>
      <color rgb="FF000000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AEEF3"/>
        <bgColor rgb="FFDAEEF3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Font="1"/>
    <xf borderId="1" fillId="2" fontId="5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3" fillId="0" fontId="6" numFmtId="164" xfId="0" applyAlignment="1" applyBorder="1" applyFont="1" applyNumberFormat="1">
      <alignment horizontal="center" readingOrder="0"/>
    </xf>
    <xf borderId="4" fillId="0" fontId="6" numFmtId="164" xfId="0" applyAlignment="1" applyBorder="1" applyFont="1" applyNumberFormat="1">
      <alignment horizontal="center" readingOrder="0"/>
    </xf>
    <xf borderId="4" fillId="0" fontId="6" numFmtId="164" xfId="0" applyAlignment="1" applyBorder="1" applyFont="1" applyNumberFormat="1">
      <alignment horizontal="center"/>
    </xf>
    <xf borderId="5" fillId="0" fontId="6" numFmtId="164" xfId="0" applyAlignment="1" applyBorder="1" applyFont="1" applyNumberFormat="1">
      <alignment horizontal="center"/>
    </xf>
    <xf borderId="5" fillId="0" fontId="6" numFmtId="164" xfId="0" applyAlignment="1" applyBorder="1" applyFont="1" applyNumberFormat="1">
      <alignment horizontal="center" readingOrder="0"/>
    </xf>
    <xf borderId="2" fillId="4" fontId="3" numFmtId="164" xfId="0" applyBorder="1" applyFill="1" applyFont="1" applyNumberFormat="1"/>
    <xf borderId="6" fillId="3" fontId="3" numFmtId="0" xfId="0" applyAlignment="1" applyBorder="1" applyFont="1">
      <alignment horizontal="center"/>
    </xf>
    <xf borderId="7" fillId="0" fontId="6" numFmtId="164" xfId="0" applyAlignment="1" applyBorder="1" applyFont="1" applyNumberFormat="1">
      <alignment horizontal="center" readingOrder="0"/>
    </xf>
    <xf borderId="8" fillId="0" fontId="6" numFmtId="164" xfId="0" applyAlignment="1" applyBorder="1" applyFont="1" applyNumberFormat="1">
      <alignment horizontal="center" readingOrder="0"/>
    </xf>
    <xf borderId="9" fillId="0" fontId="6" numFmtId="164" xfId="0" applyAlignment="1" applyBorder="1" applyFont="1" applyNumberFormat="1">
      <alignment horizontal="center"/>
    </xf>
    <xf borderId="9" fillId="0" fontId="6" numFmtId="164" xfId="0" applyAlignment="1" applyBorder="1" applyFont="1" applyNumberFormat="1">
      <alignment horizontal="center" readingOrder="0"/>
    </xf>
    <xf borderId="8" fillId="0" fontId="6" numFmtId="164" xfId="0" applyAlignment="1" applyBorder="1" applyFont="1" applyNumberFormat="1">
      <alignment horizontal="center"/>
    </xf>
    <xf borderId="8" fillId="0" fontId="7" numFmtId="165" xfId="0" applyAlignment="1" applyBorder="1" applyFont="1" applyNumberFormat="1">
      <alignment horizontal="center" readingOrder="0"/>
    </xf>
    <xf borderId="0" fillId="0" fontId="6" numFmtId="3" xfId="0" applyFont="1" applyNumberFormat="1"/>
    <xf borderId="7" fillId="0" fontId="6" numFmtId="166" xfId="0" applyAlignment="1" applyBorder="1" applyFont="1" applyNumberFormat="1">
      <alignment horizontal="center" readingOrder="0"/>
    </xf>
    <xf borderId="7" fillId="0" fontId="6" numFmtId="164" xfId="0" applyAlignment="1" applyBorder="1" applyFont="1" applyNumberFormat="1">
      <alignment horizontal="center"/>
    </xf>
    <xf borderId="10" fillId="3" fontId="3" numFmtId="0" xfId="0" applyAlignment="1" applyBorder="1" applyFont="1">
      <alignment horizontal="center"/>
    </xf>
    <xf borderId="11" fillId="0" fontId="6" numFmtId="164" xfId="0" applyAlignment="1" applyBorder="1" applyFont="1" applyNumberFormat="1">
      <alignment horizontal="center"/>
    </xf>
    <xf borderId="12" fillId="0" fontId="6" numFmtId="164" xfId="0" applyAlignment="1" applyBorder="1" applyFont="1" applyNumberFormat="1">
      <alignment horizontal="center"/>
    </xf>
    <xf borderId="13" fillId="0" fontId="6" numFmtId="164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14" fillId="4" fontId="3" numFmtId="164" xfId="0" applyAlignment="1" applyBorder="1" applyFont="1" applyNumberFormat="1">
      <alignment horizontal="center"/>
    </xf>
    <xf borderId="1" fillId="5" fontId="5" numFmtId="164" xfId="0" applyBorder="1" applyFill="1" applyFont="1" applyNumberFormat="1"/>
    <xf borderId="1" fillId="6" fontId="3" numFmtId="0" xfId="0" applyAlignment="1" applyBorder="1" applyFill="1" applyFont="1">
      <alignment horizontal="center"/>
    </xf>
    <xf borderId="14" fillId="6" fontId="3" numFmtId="0" xfId="0" applyAlignment="1" applyBorder="1" applyFont="1">
      <alignment horizontal="center"/>
    </xf>
    <xf borderId="15" fillId="6" fontId="3" numFmtId="0" xfId="0" applyAlignment="1" applyBorder="1" applyFont="1">
      <alignment horizontal="center"/>
    </xf>
    <xf borderId="2" fillId="7" fontId="3" numFmtId="0" xfId="0" applyAlignment="1" applyBorder="1" applyFill="1" applyFont="1">
      <alignment horizontal="center"/>
    </xf>
    <xf borderId="3" fillId="0" fontId="6" numFmtId="164" xfId="0" applyAlignment="1" applyBorder="1" applyFont="1" applyNumberFormat="1">
      <alignment horizontal="center"/>
    </xf>
    <xf borderId="2" fillId="8" fontId="3" numFmtId="164" xfId="0" applyBorder="1" applyFill="1" applyFont="1" applyNumberFormat="1"/>
    <xf borderId="6" fillId="7" fontId="3" numFmtId="0" xfId="0" applyAlignment="1" applyBorder="1" applyFont="1">
      <alignment horizontal="center"/>
    </xf>
    <xf borderId="2" fillId="8" fontId="3" numFmtId="167" xfId="0" applyBorder="1" applyFont="1" applyNumberFormat="1"/>
    <xf borderId="10" fillId="7" fontId="3" numFmtId="0" xfId="0" applyAlignment="1" applyBorder="1" applyFont="1">
      <alignment horizontal="center"/>
    </xf>
    <xf borderId="16" fillId="0" fontId="6" numFmtId="164" xfId="0" applyAlignment="1" applyBorder="1" applyFont="1" applyNumberFormat="1">
      <alignment horizontal="center"/>
    </xf>
    <xf borderId="1" fillId="7" fontId="3" numFmtId="0" xfId="0" applyAlignment="1" applyBorder="1" applyFont="1">
      <alignment horizontal="center"/>
    </xf>
    <xf borderId="17" fillId="8" fontId="3" numFmtId="164" xfId="0" applyAlignment="1" applyBorder="1" applyFont="1" applyNumberFormat="1">
      <alignment horizontal="center"/>
    </xf>
    <xf borderId="14" fillId="8" fontId="3" numFmtId="164" xfId="0" applyAlignment="1" applyBorder="1" applyFont="1" applyNumberFormat="1">
      <alignment horizontal="center"/>
    </xf>
    <xf borderId="1" fillId="9" fontId="3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0.43"/>
    <col customWidth="1" min="3" max="3" width="23.43"/>
    <col customWidth="1" min="4" max="4" width="20.57"/>
    <col customWidth="1" min="5" max="5" width="19.57"/>
    <col customWidth="1" min="6" max="6" width="18.29"/>
    <col customWidth="1" min="7" max="7" width="17.43"/>
    <col customWidth="1" min="8" max="8" width="19.86"/>
    <col customWidth="1" min="9" max="12" width="10.71"/>
    <col customWidth="1" min="13" max="13" width="16.43"/>
    <col customWidth="1" min="14" max="14" width="18.71"/>
  </cols>
  <sheetData>
    <row r="1">
      <c r="D1" s="1"/>
    </row>
    <row r="2">
      <c r="A2" s="2" t="s">
        <v>0</v>
      </c>
    </row>
    <row r="4">
      <c r="E4" s="3" t="s">
        <v>1</v>
      </c>
      <c r="F4" s="4" t="s">
        <v>2</v>
      </c>
      <c r="G4" s="4">
        <v>2026.0</v>
      </c>
      <c r="K4" s="5"/>
      <c r="L4" s="5"/>
      <c r="M4" s="5"/>
      <c r="N4" s="5"/>
    </row>
    <row r="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</row>
    <row r="7">
      <c r="A7" s="7">
        <v>1.0</v>
      </c>
      <c r="B7" s="8">
        <v>35000.0</v>
      </c>
      <c r="C7" s="9">
        <v>320000.0</v>
      </c>
      <c r="D7" s="10"/>
      <c r="E7" s="10"/>
      <c r="F7" s="11"/>
      <c r="G7" s="12">
        <v>980000.0</v>
      </c>
      <c r="H7" s="13">
        <f t="shared" ref="H7:H38" si="1">SUM(B7:G7)</f>
        <v>1335000</v>
      </c>
    </row>
    <row r="8">
      <c r="A8" s="14">
        <v>2.0</v>
      </c>
      <c r="B8" s="15">
        <v>3123900.0</v>
      </c>
      <c r="C8" s="16">
        <v>320000.0</v>
      </c>
      <c r="D8" s="16">
        <v>90000.0</v>
      </c>
      <c r="E8" s="16">
        <v>10000.0</v>
      </c>
      <c r="F8" s="17"/>
      <c r="G8" s="18">
        <v>788000.0</v>
      </c>
      <c r="H8" s="13">
        <f t="shared" si="1"/>
        <v>4331900</v>
      </c>
    </row>
    <row r="9">
      <c r="A9" s="14">
        <v>3.0</v>
      </c>
      <c r="B9" s="15">
        <v>721900.0</v>
      </c>
      <c r="C9" s="16">
        <v>432300.0</v>
      </c>
      <c r="D9" s="16">
        <v>706600.0</v>
      </c>
      <c r="E9" s="16">
        <v>1500.0</v>
      </c>
      <c r="F9" s="17"/>
      <c r="G9" s="17"/>
      <c r="H9" s="13">
        <f t="shared" si="1"/>
        <v>1862300</v>
      </c>
    </row>
    <row r="10">
      <c r="A10" s="14">
        <v>4.0</v>
      </c>
      <c r="B10" s="15">
        <v>683210.0</v>
      </c>
      <c r="C10" s="16">
        <v>3543610.0</v>
      </c>
      <c r="D10" s="16">
        <v>100000.0</v>
      </c>
      <c r="E10" s="19"/>
      <c r="F10" s="17"/>
      <c r="G10" s="18">
        <v>3077000.0</v>
      </c>
      <c r="H10" s="13">
        <f t="shared" si="1"/>
        <v>7403820</v>
      </c>
    </row>
    <row r="11">
      <c r="A11" s="14">
        <v>5.0</v>
      </c>
      <c r="B11" s="15">
        <v>2386100.0</v>
      </c>
      <c r="C11" s="16">
        <v>643500.0</v>
      </c>
      <c r="D11" s="19"/>
      <c r="E11" s="19"/>
      <c r="F11" s="17"/>
      <c r="G11" s="18">
        <v>197500.0</v>
      </c>
      <c r="H11" s="13">
        <f t="shared" si="1"/>
        <v>3227100</v>
      </c>
    </row>
    <row r="12">
      <c r="A12" s="14">
        <v>6.0</v>
      </c>
      <c r="B12" s="15">
        <v>2293420.0</v>
      </c>
      <c r="C12" s="16">
        <v>320000.0</v>
      </c>
      <c r="D12" s="16">
        <v>64500.0</v>
      </c>
      <c r="E12" s="19"/>
      <c r="F12" s="17"/>
      <c r="G12" s="18">
        <v>1115000.0</v>
      </c>
      <c r="H12" s="13">
        <f t="shared" si="1"/>
        <v>3792920</v>
      </c>
    </row>
    <row r="13">
      <c r="A13" s="14">
        <v>7.0</v>
      </c>
      <c r="B13" s="15">
        <v>1892000.0</v>
      </c>
      <c r="C13" s="16">
        <v>1920610.0</v>
      </c>
      <c r="D13" s="19"/>
      <c r="E13" s="16">
        <v>27000.0</v>
      </c>
      <c r="F13" s="17"/>
      <c r="G13" s="17"/>
      <c r="H13" s="13">
        <f t="shared" si="1"/>
        <v>3839610</v>
      </c>
    </row>
    <row r="14">
      <c r="A14" s="14">
        <v>8.0</v>
      </c>
      <c r="B14" s="15">
        <v>18000.0</v>
      </c>
      <c r="C14" s="16">
        <v>320000.0</v>
      </c>
      <c r="D14" s="19"/>
      <c r="E14" s="19"/>
      <c r="F14" s="17"/>
      <c r="G14" s="18">
        <v>630000.0</v>
      </c>
      <c r="H14" s="13">
        <f t="shared" si="1"/>
        <v>968000</v>
      </c>
    </row>
    <row r="15">
      <c r="A15" s="14">
        <v>9.0</v>
      </c>
      <c r="B15" s="15">
        <v>1458100.0</v>
      </c>
      <c r="C15" s="16">
        <v>320000.0</v>
      </c>
      <c r="D15" s="16">
        <v>155000.0</v>
      </c>
      <c r="E15" s="16">
        <v>31400.0</v>
      </c>
      <c r="F15" s="17"/>
      <c r="G15" s="18">
        <v>2642000.0</v>
      </c>
      <c r="H15" s="13">
        <f t="shared" si="1"/>
        <v>4606500</v>
      </c>
    </row>
    <row r="16">
      <c r="A16" s="14">
        <v>10.0</v>
      </c>
      <c r="B16" s="15">
        <v>413400.0</v>
      </c>
      <c r="C16" s="16">
        <v>375000.0</v>
      </c>
      <c r="D16" s="16">
        <v>55000.0</v>
      </c>
      <c r="E16" s="19"/>
      <c r="F16" s="17"/>
      <c r="G16" s="18">
        <v>648000.0</v>
      </c>
      <c r="H16" s="13">
        <f t="shared" si="1"/>
        <v>1491400</v>
      </c>
    </row>
    <row r="17">
      <c r="A17" s="14">
        <v>11.0</v>
      </c>
      <c r="B17" s="15">
        <v>1593500.0</v>
      </c>
      <c r="C17" s="16">
        <v>523000.0</v>
      </c>
      <c r="D17" s="19"/>
      <c r="E17" s="19"/>
      <c r="F17" s="17"/>
      <c r="G17" s="18">
        <v>5295000.0</v>
      </c>
      <c r="H17" s="13">
        <f t="shared" si="1"/>
        <v>7411500</v>
      </c>
    </row>
    <row r="18">
      <c r="A18" s="14">
        <v>12.0</v>
      </c>
      <c r="B18" s="15">
        <v>1929680.0</v>
      </c>
      <c r="C18" s="16">
        <v>417900.0</v>
      </c>
      <c r="D18" s="19"/>
      <c r="E18" s="16">
        <v>2000.0</v>
      </c>
      <c r="F18" s="17"/>
      <c r="G18" s="18">
        <v>870000.0</v>
      </c>
      <c r="H18" s="13">
        <f t="shared" si="1"/>
        <v>3219580</v>
      </c>
    </row>
    <row r="19">
      <c r="A19" s="14">
        <v>13.0</v>
      </c>
      <c r="B19" s="15">
        <v>1269052.0</v>
      </c>
      <c r="C19" s="16">
        <v>320000.0</v>
      </c>
      <c r="D19" s="16">
        <v>138800.0</v>
      </c>
      <c r="E19" s="16">
        <v>70000.0</v>
      </c>
      <c r="F19" s="17"/>
      <c r="G19" s="18">
        <v>200000.0</v>
      </c>
      <c r="H19" s="13">
        <f t="shared" si="1"/>
        <v>1997852</v>
      </c>
    </row>
    <row r="20">
      <c r="A20" s="14">
        <v>14.0</v>
      </c>
      <c r="B20" s="15">
        <v>2626000.0</v>
      </c>
      <c r="C20" s="16">
        <v>320000.0</v>
      </c>
      <c r="D20" s="19"/>
      <c r="E20" s="16">
        <v>20000.0</v>
      </c>
      <c r="F20" s="17"/>
      <c r="G20" s="18">
        <v>158000.0</v>
      </c>
      <c r="H20" s="13">
        <f t="shared" si="1"/>
        <v>3124000</v>
      </c>
    </row>
    <row r="21" ht="15.75" customHeight="1">
      <c r="A21" s="14">
        <v>15.0</v>
      </c>
      <c r="B21" s="15">
        <v>76500.0</v>
      </c>
      <c r="C21" s="16">
        <v>320000.0</v>
      </c>
      <c r="D21" s="19"/>
      <c r="E21" s="19"/>
      <c r="F21" s="17"/>
      <c r="G21" s="18">
        <v>500000.0</v>
      </c>
      <c r="H21" s="13">
        <f t="shared" si="1"/>
        <v>896500</v>
      </c>
    </row>
    <row r="22" ht="15.75" customHeight="1">
      <c r="A22" s="14">
        <v>16.0</v>
      </c>
      <c r="B22" s="15">
        <v>101000.0</v>
      </c>
      <c r="C22" s="16">
        <v>2123400.0</v>
      </c>
      <c r="D22" s="16">
        <v>80000.0</v>
      </c>
      <c r="E22" s="16">
        <v>12500.0</v>
      </c>
      <c r="F22" s="17"/>
      <c r="G22" s="18">
        <v>2664250.0</v>
      </c>
      <c r="H22" s="13">
        <f t="shared" si="1"/>
        <v>4981150</v>
      </c>
    </row>
    <row r="23" ht="15.75" customHeight="1">
      <c r="A23" s="14">
        <v>17.0</v>
      </c>
      <c r="B23" s="15">
        <v>1157210.0</v>
      </c>
      <c r="C23" s="16">
        <v>320000.0</v>
      </c>
      <c r="D23" s="16">
        <v>12000.0</v>
      </c>
      <c r="E23" s="16">
        <v>2500.0</v>
      </c>
      <c r="F23" s="17"/>
      <c r="G23" s="17"/>
      <c r="H23" s="13">
        <f t="shared" si="1"/>
        <v>1491710</v>
      </c>
    </row>
    <row r="24" ht="15.75" customHeight="1">
      <c r="A24" s="14">
        <v>18.0</v>
      </c>
      <c r="B24" s="15">
        <v>1562200.0</v>
      </c>
      <c r="C24" s="16">
        <v>7471000.0</v>
      </c>
      <c r="D24" s="16">
        <v>76000.0</v>
      </c>
      <c r="E24" s="16">
        <v>2500.0</v>
      </c>
      <c r="F24" s="17"/>
      <c r="G24" s="17"/>
      <c r="H24" s="13">
        <f t="shared" si="1"/>
        <v>9111700</v>
      </c>
    </row>
    <row r="25" ht="15.75" customHeight="1">
      <c r="A25" s="14">
        <v>19.0</v>
      </c>
      <c r="B25" s="15">
        <v>312800.0</v>
      </c>
      <c r="C25" s="16">
        <v>296300.0</v>
      </c>
      <c r="D25" s="20">
        <v>70000.0</v>
      </c>
      <c r="E25" s="16">
        <v>25000.0</v>
      </c>
      <c r="F25" s="17"/>
      <c r="G25" s="17"/>
      <c r="H25" s="13">
        <f t="shared" si="1"/>
        <v>704100</v>
      </c>
    </row>
    <row r="26" ht="15.75" customHeight="1">
      <c r="A26" s="14">
        <v>20.0</v>
      </c>
      <c r="B26" s="15">
        <v>2119300.0</v>
      </c>
      <c r="C26" s="16">
        <v>656000.0</v>
      </c>
      <c r="D26" s="16">
        <v>60000.0</v>
      </c>
      <c r="E26" s="16">
        <v>11000.0</v>
      </c>
      <c r="F26" s="17"/>
      <c r="G26" s="17"/>
      <c r="H26" s="13">
        <f t="shared" si="1"/>
        <v>2846300</v>
      </c>
    </row>
    <row r="27" ht="15.75" customHeight="1">
      <c r="A27" s="14">
        <v>21.0</v>
      </c>
      <c r="B27" s="15">
        <v>2020050.0</v>
      </c>
      <c r="C27" s="16">
        <v>320000.0</v>
      </c>
      <c r="D27" s="16">
        <v>45700.0</v>
      </c>
      <c r="E27" s="19"/>
      <c r="F27" s="17"/>
      <c r="G27" s="18">
        <v>160000.0</v>
      </c>
      <c r="H27" s="13">
        <f t="shared" si="1"/>
        <v>2545750</v>
      </c>
    </row>
    <row r="28" ht="15.75" customHeight="1">
      <c r="A28" s="14">
        <v>22.0</v>
      </c>
      <c r="B28" s="15">
        <v>33000.0</v>
      </c>
      <c r="C28" s="16">
        <v>320000.0</v>
      </c>
      <c r="D28" s="19"/>
      <c r="E28" s="19"/>
      <c r="F28" s="17"/>
      <c r="G28" s="18">
        <v>980000.0</v>
      </c>
      <c r="H28" s="13">
        <f t="shared" si="1"/>
        <v>1333000</v>
      </c>
      <c r="L28" s="21"/>
    </row>
    <row r="29" ht="15.75" customHeight="1">
      <c r="A29" s="14">
        <v>23.0</v>
      </c>
      <c r="B29" s="15">
        <v>2306000.0</v>
      </c>
      <c r="C29" s="16">
        <v>6339000.0</v>
      </c>
      <c r="D29" s="16">
        <v>69400.0</v>
      </c>
      <c r="E29" s="16">
        <v>6000.0</v>
      </c>
      <c r="F29" s="17"/>
      <c r="G29" s="18">
        <v>3389750.0</v>
      </c>
      <c r="H29" s="13">
        <f t="shared" si="1"/>
        <v>12110150</v>
      </c>
    </row>
    <row r="30" ht="15.75" customHeight="1">
      <c r="A30" s="14">
        <v>24.0</v>
      </c>
      <c r="B30" s="15">
        <v>154800.0</v>
      </c>
      <c r="C30" s="16">
        <v>3485000.0</v>
      </c>
      <c r="D30" s="16">
        <v>100000.0</v>
      </c>
      <c r="E30" s="19"/>
      <c r="F30" s="17"/>
      <c r="G30" s="18">
        <v>351600.0</v>
      </c>
      <c r="H30" s="13">
        <f t="shared" si="1"/>
        <v>4091400</v>
      </c>
    </row>
    <row r="31" ht="15.75" customHeight="1">
      <c r="A31" s="14">
        <v>25.0</v>
      </c>
      <c r="B31" s="22">
        <v>1899010.0</v>
      </c>
      <c r="C31" s="16">
        <v>1920000.0</v>
      </c>
      <c r="D31" s="16">
        <v>241600.0</v>
      </c>
      <c r="E31" s="16">
        <v>2500.0</v>
      </c>
      <c r="F31" s="17"/>
      <c r="G31" s="18">
        <v>205000.0</v>
      </c>
      <c r="H31" s="13">
        <f t="shared" si="1"/>
        <v>4268110</v>
      </c>
    </row>
    <row r="32" ht="15.75" customHeight="1">
      <c r="A32" s="14">
        <v>26.0</v>
      </c>
      <c r="B32" s="15">
        <v>215900.0</v>
      </c>
      <c r="C32" s="16">
        <v>4295900.0</v>
      </c>
      <c r="D32" s="19"/>
      <c r="E32" s="16">
        <v>12000.0</v>
      </c>
      <c r="F32" s="17"/>
      <c r="G32" s="18">
        <v>38000.0</v>
      </c>
      <c r="H32" s="13">
        <f t="shared" si="1"/>
        <v>4561800</v>
      </c>
    </row>
    <row r="33" ht="15.75" customHeight="1">
      <c r="A33" s="14">
        <v>27.0</v>
      </c>
      <c r="B33" s="15">
        <v>992400.0</v>
      </c>
      <c r="C33" s="16">
        <v>320000.0</v>
      </c>
      <c r="D33" s="16">
        <v>80000.0</v>
      </c>
      <c r="E33" s="19"/>
      <c r="F33" s="17"/>
      <c r="G33" s="18">
        <v>112500.0</v>
      </c>
      <c r="H33" s="13">
        <f t="shared" si="1"/>
        <v>1504900</v>
      </c>
    </row>
    <row r="34" ht="15.75" customHeight="1">
      <c r="A34" s="14">
        <v>28.0</v>
      </c>
      <c r="B34" s="15">
        <v>9555950.0</v>
      </c>
      <c r="C34" s="16">
        <v>752000.0</v>
      </c>
      <c r="D34" s="16">
        <v>100000.0</v>
      </c>
      <c r="E34" s="16">
        <v>5000.0</v>
      </c>
      <c r="F34" s="17"/>
      <c r="G34" s="18">
        <v>5048000.0</v>
      </c>
      <c r="H34" s="13">
        <f t="shared" si="1"/>
        <v>15460950</v>
      </c>
    </row>
    <row r="35" ht="15.75" customHeight="1">
      <c r="A35" s="14">
        <v>29.0</v>
      </c>
      <c r="B35" s="23"/>
      <c r="C35" s="19"/>
      <c r="D35" s="19"/>
      <c r="E35" s="19"/>
      <c r="F35" s="17"/>
      <c r="G35" s="17"/>
      <c r="H35" s="13">
        <f t="shared" si="1"/>
        <v>0</v>
      </c>
    </row>
    <row r="36" ht="15.75" customHeight="1">
      <c r="A36" s="14">
        <v>30.0</v>
      </c>
      <c r="B36" s="23"/>
      <c r="C36" s="19"/>
      <c r="D36" s="19"/>
      <c r="E36" s="19"/>
      <c r="F36" s="17"/>
      <c r="G36" s="17"/>
      <c r="H36" s="13">
        <f t="shared" si="1"/>
        <v>0</v>
      </c>
    </row>
    <row r="37" ht="15.75" customHeight="1">
      <c r="A37" s="24">
        <v>31.0</v>
      </c>
      <c r="B37" s="25"/>
      <c r="C37" s="26"/>
      <c r="D37" s="26"/>
      <c r="E37" s="26"/>
      <c r="F37" s="27"/>
      <c r="G37" s="27"/>
      <c r="H37" s="13">
        <f t="shared" si="1"/>
        <v>0</v>
      </c>
    </row>
    <row r="38" ht="15.75" customHeight="1">
      <c r="A38" s="28"/>
      <c r="B38" s="29">
        <f t="shared" ref="B38:G38" si="2">SUM(B7:B37)</f>
        <v>42949382</v>
      </c>
      <c r="C38" s="29">
        <f t="shared" si="2"/>
        <v>39034520</v>
      </c>
      <c r="D38" s="29">
        <f t="shared" si="2"/>
        <v>2244600</v>
      </c>
      <c r="E38" s="29">
        <f t="shared" si="2"/>
        <v>240900</v>
      </c>
      <c r="F38" s="29">
        <f t="shared" si="2"/>
        <v>0</v>
      </c>
      <c r="G38" s="29">
        <f t="shared" si="2"/>
        <v>30049600</v>
      </c>
      <c r="H38" s="30">
        <f t="shared" si="1"/>
        <v>114519002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7.0"/>
    <col customWidth="1" min="3" max="3" width="9.71"/>
    <col customWidth="1" min="4" max="4" width="17.29"/>
    <col customWidth="1" min="5" max="5" width="20.29"/>
    <col customWidth="1" min="6" max="6" width="13.86"/>
    <col customWidth="1" min="7" max="7" width="18.29"/>
    <col customWidth="1" min="8" max="8" width="19.43"/>
  </cols>
  <sheetData>
    <row r="1">
      <c r="E1" s="1"/>
    </row>
    <row r="2">
      <c r="A2" s="2" t="s">
        <v>11</v>
      </c>
    </row>
    <row r="4">
      <c r="F4" s="4" t="s">
        <v>2</v>
      </c>
      <c r="G4" s="4">
        <v>2026.0</v>
      </c>
    </row>
    <row r="6">
      <c r="A6" s="31" t="s">
        <v>3</v>
      </c>
      <c r="B6" s="32" t="s">
        <v>12</v>
      </c>
      <c r="C6" s="33" t="s">
        <v>13</v>
      </c>
      <c r="D6" s="31" t="s">
        <v>14</v>
      </c>
      <c r="E6" s="31" t="s">
        <v>15</v>
      </c>
      <c r="F6" s="31" t="s">
        <v>13</v>
      </c>
      <c r="G6" s="31" t="s">
        <v>16</v>
      </c>
      <c r="H6" s="31" t="s">
        <v>17</v>
      </c>
    </row>
    <row r="7">
      <c r="A7" s="34">
        <v>1.0</v>
      </c>
      <c r="B7" s="35"/>
      <c r="C7" s="10"/>
      <c r="D7" s="10"/>
      <c r="E7" s="9">
        <v>2229475.0</v>
      </c>
      <c r="F7" s="10"/>
      <c r="G7" s="12">
        <v>2495920.0</v>
      </c>
      <c r="H7" s="36">
        <f>SUM(C7:G7)</f>
        <v>4725395</v>
      </c>
    </row>
    <row r="8">
      <c r="A8" s="37">
        <v>2.0</v>
      </c>
      <c r="B8" s="8">
        <v>132590.0</v>
      </c>
      <c r="C8" s="19"/>
      <c r="D8" s="16">
        <v>452400.0</v>
      </c>
      <c r="E8" s="16">
        <v>1303270.0</v>
      </c>
      <c r="F8" s="19"/>
      <c r="G8" s="18">
        <v>1915400.0</v>
      </c>
      <c r="H8" s="36">
        <f t="shared" ref="H8:H34" si="1">SUM(B8:G8)</f>
        <v>3803660</v>
      </c>
    </row>
    <row r="9">
      <c r="A9" s="37">
        <v>3.0</v>
      </c>
      <c r="B9" s="8">
        <v>139570.0</v>
      </c>
      <c r="C9" s="19"/>
      <c r="D9" s="16">
        <v>233200.0</v>
      </c>
      <c r="E9" s="16">
        <v>2088365.0</v>
      </c>
      <c r="F9" s="19"/>
      <c r="G9" s="18">
        <v>1997670.0</v>
      </c>
      <c r="H9" s="36">
        <f t="shared" si="1"/>
        <v>4458805</v>
      </c>
    </row>
    <row r="10">
      <c r="A10" s="37">
        <v>4.0</v>
      </c>
      <c r="B10" s="8">
        <v>11700.0</v>
      </c>
      <c r="C10" s="19"/>
      <c r="D10" s="16">
        <v>139680.0</v>
      </c>
      <c r="E10" s="16">
        <v>1922475.0</v>
      </c>
      <c r="F10" s="19"/>
      <c r="G10" s="18">
        <v>2281125.0</v>
      </c>
      <c r="H10" s="36">
        <f t="shared" si="1"/>
        <v>4354980</v>
      </c>
    </row>
    <row r="11">
      <c r="A11" s="37">
        <v>5.0</v>
      </c>
      <c r="B11" s="8">
        <v>342100.0</v>
      </c>
      <c r="C11" s="19"/>
      <c r="D11" s="16">
        <v>568210.0</v>
      </c>
      <c r="E11" s="16">
        <v>3537995.0</v>
      </c>
      <c r="F11" s="19"/>
      <c r="G11" s="18">
        <v>2986850.0</v>
      </c>
      <c r="H11" s="38">
        <f t="shared" si="1"/>
        <v>7435155</v>
      </c>
    </row>
    <row r="12">
      <c r="A12" s="37">
        <v>6.0</v>
      </c>
      <c r="B12" s="8">
        <v>170900.0</v>
      </c>
      <c r="C12" s="19"/>
      <c r="D12" s="16">
        <v>247490.0</v>
      </c>
      <c r="E12" s="16">
        <v>2937940.0</v>
      </c>
      <c r="F12" s="19"/>
      <c r="G12" s="18">
        <v>2267995.0</v>
      </c>
      <c r="H12" s="36">
        <f t="shared" si="1"/>
        <v>5624325</v>
      </c>
    </row>
    <row r="13">
      <c r="A13" s="37">
        <v>7.0</v>
      </c>
      <c r="B13" s="8">
        <v>28260.0</v>
      </c>
      <c r="C13" s="19"/>
      <c r="D13" s="16">
        <v>518130.0</v>
      </c>
      <c r="E13" s="16">
        <v>3057155.0</v>
      </c>
      <c r="F13" s="19"/>
      <c r="G13" s="18">
        <v>3395910.0</v>
      </c>
      <c r="H13" s="36">
        <f t="shared" si="1"/>
        <v>6999455</v>
      </c>
    </row>
    <row r="14">
      <c r="A14" s="37">
        <v>8.0</v>
      </c>
      <c r="B14" s="35"/>
      <c r="C14" s="19"/>
      <c r="D14" s="19"/>
      <c r="E14" s="16">
        <v>1675530.0</v>
      </c>
      <c r="F14" s="19"/>
      <c r="G14" s="18">
        <v>1965990.0</v>
      </c>
      <c r="H14" s="36">
        <f t="shared" si="1"/>
        <v>3641520</v>
      </c>
    </row>
    <row r="15">
      <c r="A15" s="37">
        <v>9.0</v>
      </c>
      <c r="B15" s="8">
        <v>88580.0</v>
      </c>
      <c r="C15" s="19"/>
      <c r="D15" s="16">
        <v>547300.0</v>
      </c>
      <c r="E15" s="16">
        <v>1806550.0</v>
      </c>
      <c r="F15" s="19"/>
      <c r="G15" s="18">
        <v>1041600.0</v>
      </c>
      <c r="H15" s="36">
        <f t="shared" si="1"/>
        <v>3484030</v>
      </c>
    </row>
    <row r="16">
      <c r="A16" s="37">
        <v>10.0</v>
      </c>
      <c r="B16" s="8">
        <v>169370.0</v>
      </c>
      <c r="C16" s="19"/>
      <c r="D16" s="16">
        <v>211400.0</v>
      </c>
      <c r="E16" s="16">
        <v>1070820.0</v>
      </c>
      <c r="F16" s="19"/>
      <c r="G16" s="18">
        <v>1715445.0</v>
      </c>
      <c r="H16" s="36">
        <f t="shared" si="1"/>
        <v>3167035</v>
      </c>
    </row>
    <row r="17">
      <c r="A17" s="37">
        <v>11.0</v>
      </c>
      <c r="B17" s="8">
        <v>120010.0</v>
      </c>
      <c r="C17" s="19"/>
      <c r="D17" s="16">
        <v>177900.0</v>
      </c>
      <c r="E17" s="16">
        <v>1872780.0</v>
      </c>
      <c r="F17" s="19"/>
      <c r="G17" s="18">
        <v>1894150.0</v>
      </c>
      <c r="H17" s="36">
        <f t="shared" si="1"/>
        <v>4064840</v>
      </c>
    </row>
    <row r="18">
      <c r="A18" s="37">
        <v>12.0</v>
      </c>
      <c r="B18" s="8">
        <v>88290.0</v>
      </c>
      <c r="C18" s="19"/>
      <c r="D18" s="16">
        <v>12100.0</v>
      </c>
      <c r="E18" s="16">
        <v>1821755.0</v>
      </c>
      <c r="F18" s="19"/>
      <c r="G18" s="18">
        <v>3089860.0</v>
      </c>
      <c r="H18" s="36">
        <f t="shared" si="1"/>
        <v>5012005</v>
      </c>
    </row>
    <row r="19">
      <c r="A19" s="37">
        <v>13.0</v>
      </c>
      <c r="B19" s="8">
        <v>389390.0</v>
      </c>
      <c r="C19" s="19"/>
      <c r="D19" s="16">
        <v>292900.0</v>
      </c>
      <c r="E19" s="16">
        <v>2416098.0</v>
      </c>
      <c r="F19" s="19"/>
      <c r="G19" s="18">
        <v>2585240.0</v>
      </c>
      <c r="H19" s="36">
        <f t="shared" si="1"/>
        <v>5683628</v>
      </c>
    </row>
    <row r="20">
      <c r="A20" s="37">
        <v>14.0</v>
      </c>
      <c r="B20" s="8">
        <v>263240.0</v>
      </c>
      <c r="C20" s="19"/>
      <c r="D20" s="16">
        <v>297100.0</v>
      </c>
      <c r="E20" s="16">
        <v>3179180.0</v>
      </c>
      <c r="F20" s="19"/>
      <c r="G20" s="18">
        <v>4495660.0</v>
      </c>
      <c r="H20" s="36">
        <f t="shared" si="1"/>
        <v>8235180</v>
      </c>
    </row>
    <row r="21" ht="15.75" customHeight="1">
      <c r="A21" s="37">
        <v>15.0</v>
      </c>
      <c r="B21" s="8">
        <v>466590.0</v>
      </c>
      <c r="C21" s="19"/>
      <c r="D21" s="16">
        <v>885020.0</v>
      </c>
      <c r="E21" s="16">
        <v>4636157.0</v>
      </c>
      <c r="F21" s="19"/>
      <c r="G21" s="18">
        <v>4067820.0</v>
      </c>
      <c r="H21" s="36">
        <f t="shared" si="1"/>
        <v>10055587</v>
      </c>
    </row>
    <row r="22" ht="15.75" customHeight="1">
      <c r="A22" s="37">
        <v>16.0</v>
      </c>
      <c r="B22" s="8">
        <v>51170.0</v>
      </c>
      <c r="C22" s="19"/>
      <c r="D22" s="16">
        <v>513700.0</v>
      </c>
      <c r="E22" s="16">
        <v>4044074.0</v>
      </c>
      <c r="F22" s="19"/>
      <c r="G22" s="18">
        <v>3712540.0</v>
      </c>
      <c r="H22" s="36">
        <f t="shared" si="1"/>
        <v>8321484</v>
      </c>
    </row>
    <row r="23" ht="15.75" customHeight="1">
      <c r="A23" s="37">
        <v>17.0</v>
      </c>
      <c r="B23" s="8">
        <v>154620.0</v>
      </c>
      <c r="C23" s="19"/>
      <c r="D23" s="16">
        <v>89400.0</v>
      </c>
      <c r="E23" s="16">
        <v>1976600.0</v>
      </c>
      <c r="F23" s="19"/>
      <c r="G23" s="18">
        <v>1948700.0</v>
      </c>
      <c r="H23" s="36">
        <f t="shared" si="1"/>
        <v>4169320</v>
      </c>
    </row>
    <row r="24" ht="15.75" customHeight="1">
      <c r="A24" s="37">
        <v>18.0</v>
      </c>
      <c r="B24" s="8">
        <v>55600.0</v>
      </c>
      <c r="C24" s="19"/>
      <c r="D24" s="16">
        <v>254100.0</v>
      </c>
      <c r="E24" s="16">
        <v>872075.0</v>
      </c>
      <c r="F24" s="19"/>
      <c r="G24" s="18">
        <v>1611700.0</v>
      </c>
      <c r="H24" s="36">
        <f t="shared" si="1"/>
        <v>2793475</v>
      </c>
    </row>
    <row r="25" ht="15.75" customHeight="1">
      <c r="A25" s="37">
        <v>19.0</v>
      </c>
      <c r="B25" s="8">
        <v>108200.0</v>
      </c>
      <c r="C25" s="19"/>
      <c r="D25" s="16">
        <v>156400.0</v>
      </c>
      <c r="E25" s="16">
        <v>1404960.0</v>
      </c>
      <c r="F25" s="19"/>
      <c r="G25" s="18">
        <v>1654000.0</v>
      </c>
      <c r="H25" s="36">
        <f t="shared" si="1"/>
        <v>3323560</v>
      </c>
    </row>
    <row r="26" ht="15.75" customHeight="1">
      <c r="A26" s="37">
        <v>20.0</v>
      </c>
      <c r="B26" s="8">
        <v>38360.0</v>
      </c>
      <c r="C26" s="19"/>
      <c r="D26" s="16">
        <v>394800.0</v>
      </c>
      <c r="E26" s="16">
        <v>2586760.0</v>
      </c>
      <c r="F26" s="19"/>
      <c r="G26" s="18">
        <v>2291770.0</v>
      </c>
      <c r="H26" s="36">
        <f t="shared" si="1"/>
        <v>5311690</v>
      </c>
    </row>
    <row r="27" ht="15.75" customHeight="1">
      <c r="A27" s="37">
        <v>21.0</v>
      </c>
      <c r="B27" s="8">
        <v>157670.0</v>
      </c>
      <c r="C27" s="19"/>
      <c r="D27" s="16">
        <v>304600.0</v>
      </c>
      <c r="E27" s="16">
        <v>2489600.0</v>
      </c>
      <c r="F27" s="19"/>
      <c r="G27" s="18">
        <v>3192610.0</v>
      </c>
      <c r="H27" s="36">
        <f t="shared" si="1"/>
        <v>6144480</v>
      </c>
    </row>
    <row r="28" ht="15.75" customHeight="1">
      <c r="A28" s="37">
        <v>22.0</v>
      </c>
      <c r="B28" s="35"/>
      <c r="C28" s="19"/>
      <c r="D28" s="19"/>
      <c r="E28" s="16">
        <v>1888535.0</v>
      </c>
      <c r="F28" s="19"/>
      <c r="G28" s="18">
        <v>2409335.0</v>
      </c>
      <c r="H28" s="36">
        <f t="shared" si="1"/>
        <v>4297870</v>
      </c>
    </row>
    <row r="29" ht="15.75" customHeight="1">
      <c r="A29" s="37">
        <v>23.0</v>
      </c>
      <c r="B29" s="8">
        <v>316810.0</v>
      </c>
      <c r="C29" s="19"/>
      <c r="D29" s="16">
        <v>97500.0</v>
      </c>
      <c r="E29" s="16">
        <v>1085090.0</v>
      </c>
      <c r="F29" s="19"/>
      <c r="G29" s="18">
        <v>1260470.0</v>
      </c>
      <c r="H29" s="36">
        <f t="shared" si="1"/>
        <v>2759870</v>
      </c>
    </row>
    <row r="30" ht="15.75" customHeight="1">
      <c r="A30" s="37">
        <v>24.0</v>
      </c>
      <c r="B30" s="8">
        <v>11160.0</v>
      </c>
      <c r="C30" s="19"/>
      <c r="D30" s="16">
        <v>91200.0</v>
      </c>
      <c r="E30" s="16">
        <v>1456625.0</v>
      </c>
      <c r="F30" s="19"/>
      <c r="G30" s="18">
        <v>1569400.0</v>
      </c>
      <c r="H30" s="36">
        <f t="shared" si="1"/>
        <v>3128385</v>
      </c>
    </row>
    <row r="31" ht="15.75" customHeight="1">
      <c r="A31" s="37">
        <v>25.0</v>
      </c>
      <c r="B31" s="8">
        <v>77440.0</v>
      </c>
      <c r="C31" s="19"/>
      <c r="D31" s="16">
        <v>73400.0</v>
      </c>
      <c r="E31" s="16">
        <v>730730.0</v>
      </c>
      <c r="F31" s="19"/>
      <c r="G31" s="18">
        <v>1406420.0</v>
      </c>
      <c r="H31" s="36">
        <f t="shared" si="1"/>
        <v>2287990</v>
      </c>
    </row>
    <row r="32" ht="15.75" customHeight="1">
      <c r="A32" s="37">
        <v>26.0</v>
      </c>
      <c r="B32" s="8">
        <v>258780.0</v>
      </c>
      <c r="C32" s="19"/>
      <c r="D32" s="16">
        <v>144900.0</v>
      </c>
      <c r="E32" s="16">
        <v>772055.0</v>
      </c>
      <c r="F32" s="19"/>
      <c r="G32" s="18">
        <v>1154400.0</v>
      </c>
      <c r="H32" s="36">
        <f t="shared" si="1"/>
        <v>2330135</v>
      </c>
    </row>
    <row r="33" ht="15.75" customHeight="1">
      <c r="A33" s="37">
        <v>27.0</v>
      </c>
      <c r="B33" s="8">
        <v>107940.0</v>
      </c>
      <c r="C33" s="19"/>
      <c r="D33" s="16">
        <v>105200.0</v>
      </c>
      <c r="E33" s="16">
        <v>2002450.0</v>
      </c>
      <c r="F33" s="19"/>
      <c r="G33" s="18">
        <v>1633700.0</v>
      </c>
      <c r="H33" s="36">
        <f t="shared" si="1"/>
        <v>3849290</v>
      </c>
    </row>
    <row r="34" ht="15.75" customHeight="1">
      <c r="A34" s="37">
        <v>28.0</v>
      </c>
      <c r="B34" s="8">
        <v>66600.0</v>
      </c>
      <c r="C34" s="19"/>
      <c r="D34" s="16">
        <v>241700.0</v>
      </c>
      <c r="E34" s="16">
        <v>1780195.0</v>
      </c>
      <c r="F34" s="19"/>
      <c r="G34" s="18">
        <v>2964280.0</v>
      </c>
      <c r="H34" s="36">
        <f t="shared" si="1"/>
        <v>5052775</v>
      </c>
    </row>
    <row r="35" ht="15.75" customHeight="1">
      <c r="A35" s="37">
        <v>29.0</v>
      </c>
      <c r="B35" s="35"/>
      <c r="C35" s="19"/>
      <c r="D35" s="19"/>
      <c r="E35" s="19"/>
      <c r="F35" s="19"/>
      <c r="G35" s="17"/>
      <c r="H35" s="36">
        <v>0.0</v>
      </c>
    </row>
    <row r="36" ht="15.75" customHeight="1">
      <c r="A36" s="37">
        <v>30.0</v>
      </c>
      <c r="B36" s="35"/>
      <c r="C36" s="19"/>
      <c r="D36" s="19"/>
      <c r="E36" s="19"/>
      <c r="F36" s="19"/>
      <c r="G36" s="17"/>
      <c r="H36" s="36">
        <v>0.0</v>
      </c>
    </row>
    <row r="37" ht="15.75" customHeight="1">
      <c r="A37" s="39">
        <v>31.0</v>
      </c>
      <c r="B37" s="40"/>
      <c r="C37" s="26"/>
      <c r="D37" s="26"/>
      <c r="E37" s="26"/>
      <c r="F37" s="26"/>
      <c r="G37" s="27"/>
      <c r="H37" s="36">
        <v>0.0</v>
      </c>
    </row>
    <row r="38" ht="15.75" customHeight="1">
      <c r="A38" s="41"/>
      <c r="B38" s="42">
        <f t="shared" ref="B38:G38" si="2">SUM(B7:B37)</f>
        <v>3814940</v>
      </c>
      <c r="C38" s="43">
        <f t="shared" si="2"/>
        <v>0</v>
      </c>
      <c r="D38" s="43">
        <f t="shared" si="2"/>
        <v>7049730</v>
      </c>
      <c r="E38" s="43">
        <f t="shared" si="2"/>
        <v>58645294</v>
      </c>
      <c r="F38" s="43">
        <f t="shared" si="2"/>
        <v>0</v>
      </c>
      <c r="G38" s="43">
        <f t="shared" si="2"/>
        <v>65005960</v>
      </c>
      <c r="H38" s="44">
        <f>SUM(B38:G38)</f>
        <v>134515924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